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orion\Robot\Mk1\"/>
    </mc:Choice>
  </mc:AlternateContent>
  <xr:revisionPtr revIDLastSave="0" documentId="13_ncr:1_{AA7A2963-A0CC-450C-837F-5AB3B460A7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ase" sheetId="1" r:id="rId1"/>
    <sheet name="Cycloidal GearBox" sheetId="4" r:id="rId2"/>
    <sheet name="Arm Dimensions" sheetId="3" r:id="rId3"/>
    <sheet name="Motor Spec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4" i="1"/>
  <c r="C6" i="1" s="1"/>
  <c r="B10" i="3"/>
  <c r="B4" i="1"/>
  <c r="B6" i="1" s="1"/>
  <c r="B12" i="3"/>
  <c r="B11" i="3"/>
  <c r="B5" i="3"/>
  <c r="D4" i="1"/>
  <c r="B6" i="2"/>
</calcChain>
</file>

<file path=xl/sharedStrings.xml><?xml version="1.0" encoding="utf-8"?>
<sst xmlns="http://schemas.openxmlformats.org/spreadsheetml/2006/main" count="30" uniqueCount="29">
  <si>
    <t>Torque</t>
  </si>
  <si>
    <t>Micro Stepping</t>
  </si>
  <si>
    <t>Nema 17</t>
  </si>
  <si>
    <t>Holding Torque (Nm)</t>
  </si>
  <si>
    <t>Usable Torque (Nm)</t>
  </si>
  <si>
    <t>Step Angle (deg)</t>
  </si>
  <si>
    <t>Speed</t>
  </si>
  <si>
    <t>Angular Resolution</t>
  </si>
  <si>
    <t>Targets</t>
  </si>
  <si>
    <t>Option 1</t>
  </si>
  <si>
    <t>Option 2</t>
  </si>
  <si>
    <t>Option 3</t>
  </si>
  <si>
    <t>Max RPM with usable torque</t>
  </si>
  <si>
    <t>Length</t>
  </si>
  <si>
    <t>Width</t>
  </si>
  <si>
    <t>Arm 1</t>
  </si>
  <si>
    <t>Arm 2</t>
  </si>
  <si>
    <t>Arm 3</t>
  </si>
  <si>
    <t>Total</t>
  </si>
  <si>
    <t>payload Spec</t>
  </si>
  <si>
    <t>Loads</t>
  </si>
  <si>
    <t>shoulder</t>
  </si>
  <si>
    <t>elbow</t>
  </si>
  <si>
    <t>Wrist</t>
  </si>
  <si>
    <t>Gear ratio</t>
  </si>
  <si>
    <t>E</t>
  </si>
  <si>
    <t>N</t>
  </si>
  <si>
    <t>R (mm)</t>
  </si>
  <si>
    <t>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</si>
</sst>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topLeftCell="A2" workbookViewId="0">
      <selection activeCell="B4" sqref="B4"/>
    </sheetView>
  </sheetViews>
  <sheetFormatPr defaultRowHeight="15" x14ac:dyDescent="0.25"/>
  <cols>
    <col min="1" max="1" width="19.5703125" bestFit="1" customWidth="1"/>
    <col min="2" max="2" width="10" customWidth="1"/>
  </cols>
  <sheetData>
    <row r="1" spans="1:4" x14ac:dyDescent="0.25">
      <c r="B1" s="5" t="s">
        <v>2</v>
      </c>
      <c r="C1" s="5"/>
      <c r="D1" s="5"/>
    </row>
    <row r="2" spans="1:4" x14ac:dyDescent="0.25">
      <c r="A2" s="2" t="s">
        <v>8</v>
      </c>
      <c r="B2" s="3" t="s">
        <v>9</v>
      </c>
      <c r="C2" s="3" t="s">
        <v>10</v>
      </c>
      <c r="D2" t="s">
        <v>11</v>
      </c>
    </row>
    <row r="3" spans="1:4" x14ac:dyDescent="0.25">
      <c r="A3" s="1" t="s">
        <v>6</v>
      </c>
      <c r="B3" s="4">
        <v>18</v>
      </c>
      <c r="C3" s="4">
        <v>7.5</v>
      </c>
      <c r="D3" s="4">
        <v>20</v>
      </c>
    </row>
    <row r="4" spans="1:4" x14ac:dyDescent="0.25">
      <c r="A4" s="1" t="s">
        <v>0</v>
      </c>
      <c r="B4">
        <f>('Motor Specs'!$B4/Base!B3)*'Motor Specs'!$B2</f>
        <v>3.7500000000000004</v>
      </c>
      <c r="C4">
        <f>('Motor Specs'!$B4/Base!C3)*'Motor Specs'!$B2</f>
        <v>9</v>
      </c>
      <c r="D4">
        <f>('Motor Specs'!$B4/Base!D3)*'Motor Specs'!$B2</f>
        <v>3.375</v>
      </c>
    </row>
    <row r="5" spans="1:4" x14ac:dyDescent="0.25">
      <c r="A5" s="1" t="s">
        <v>7</v>
      </c>
      <c r="B5">
        <v>0.2</v>
      </c>
      <c r="C5">
        <v>0.1</v>
      </c>
    </row>
    <row r="6" spans="1:4" x14ac:dyDescent="0.25">
      <c r="A6" s="1" t="s">
        <v>24</v>
      </c>
      <c r="B6">
        <f>B4/'Motor Specs'!$B2</f>
        <v>8.3333333333333339</v>
      </c>
      <c r="C6">
        <f>C4/'Motor Specs'!$B2</f>
        <v>20</v>
      </c>
    </row>
    <row r="11" spans="1:4" x14ac:dyDescent="0.25">
      <c r="D11">
        <f>100/12</f>
        <v>8.3333333333333339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E8612-1319-45B6-949D-DD6911D4B80B}">
  <dimension ref="A2:B5"/>
  <sheetViews>
    <sheetView workbookViewId="0">
      <selection activeCell="A2" sqref="A2:B5"/>
    </sheetView>
  </sheetViews>
  <sheetFormatPr defaultRowHeight="15" x14ac:dyDescent="0.25"/>
  <sheetData>
    <row r="2" spans="1:2" x14ac:dyDescent="0.25">
      <c r="A2" t="s">
        <v>27</v>
      </c>
      <c r="B2">
        <v>40</v>
      </c>
    </row>
    <row r="3" spans="1:2" x14ac:dyDescent="0.25">
      <c r="A3" t="s">
        <v>28</v>
      </c>
      <c r="B3">
        <v>8</v>
      </c>
    </row>
    <row r="4" spans="1:2" x14ac:dyDescent="0.25">
      <c r="A4" t="s">
        <v>25</v>
      </c>
      <c r="B4">
        <v>0.75</v>
      </c>
    </row>
    <row r="5" spans="1:2" x14ac:dyDescent="0.25">
      <c r="A5" t="s">
        <v>26</v>
      </c>
      <c r="B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1F58-A007-4E1C-9FCF-3E3C6448093C}">
  <dimension ref="A1:C12"/>
  <sheetViews>
    <sheetView workbookViewId="0">
      <selection activeCell="B10" sqref="B10"/>
    </sheetView>
  </sheetViews>
  <sheetFormatPr defaultRowHeight="15" x14ac:dyDescent="0.25"/>
  <cols>
    <col min="1" max="1" width="12.5703125" bestFit="1" customWidth="1"/>
  </cols>
  <sheetData>
    <row r="1" spans="1:3" x14ac:dyDescent="0.25">
      <c r="B1" t="s">
        <v>13</v>
      </c>
      <c r="C1" t="s">
        <v>14</v>
      </c>
    </row>
    <row r="2" spans="1:3" x14ac:dyDescent="0.25">
      <c r="A2" t="s">
        <v>15</v>
      </c>
      <c r="B2">
        <v>150</v>
      </c>
    </row>
    <row r="3" spans="1:3" x14ac:dyDescent="0.25">
      <c r="A3" t="s">
        <v>16</v>
      </c>
      <c r="B3">
        <v>150</v>
      </c>
    </row>
    <row r="4" spans="1:3" x14ac:dyDescent="0.25">
      <c r="A4" t="s">
        <v>17</v>
      </c>
      <c r="B4">
        <v>60</v>
      </c>
    </row>
    <row r="5" spans="1:3" x14ac:dyDescent="0.25">
      <c r="A5" t="s">
        <v>18</v>
      </c>
      <c r="B5">
        <f>SUM(B2:B4)</f>
        <v>360</v>
      </c>
    </row>
    <row r="7" spans="1:3" x14ac:dyDescent="0.25">
      <c r="A7" t="s">
        <v>19</v>
      </c>
      <c r="B7">
        <v>1</v>
      </c>
    </row>
    <row r="9" spans="1:3" x14ac:dyDescent="0.25">
      <c r="A9" t="s">
        <v>20</v>
      </c>
    </row>
    <row r="10" spans="1:3" x14ac:dyDescent="0.25">
      <c r="A10" t="s">
        <v>21</v>
      </c>
      <c r="B10">
        <f>(9.81*B7)*(B5/1000)</f>
        <v>3.5316000000000001</v>
      </c>
    </row>
    <row r="11" spans="1:3" x14ac:dyDescent="0.25">
      <c r="A11" t="s">
        <v>22</v>
      </c>
      <c r="B11">
        <f>(9.81*B7)*(SUM(B3:B4)/1000)</f>
        <v>2.0600999999999998</v>
      </c>
    </row>
    <row r="12" spans="1:3" x14ac:dyDescent="0.25">
      <c r="A12" t="s">
        <v>23</v>
      </c>
      <c r="B12">
        <f>(9.81*B7)*(SUM(B4)/1000)</f>
        <v>0.58860000000000001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0DE3-0C5D-4AE8-AF05-9A01FA20CB3B}">
  <dimension ref="A1:B6"/>
  <sheetViews>
    <sheetView workbookViewId="0">
      <selection activeCell="B4" sqref="B4"/>
    </sheetView>
  </sheetViews>
  <sheetFormatPr defaultRowHeight="15" x14ac:dyDescent="0.25"/>
  <cols>
    <col min="1" max="1" width="26.85546875" bestFit="1" customWidth="1"/>
  </cols>
  <sheetData>
    <row r="1" spans="1:2" x14ac:dyDescent="0.25">
      <c r="B1" t="s">
        <v>2</v>
      </c>
    </row>
    <row r="2" spans="1:2" x14ac:dyDescent="0.25">
      <c r="A2" t="s">
        <v>3</v>
      </c>
      <c r="B2">
        <v>0.45</v>
      </c>
    </row>
    <row r="3" spans="1:2" x14ac:dyDescent="0.25">
      <c r="A3" t="s">
        <v>4</v>
      </c>
      <c r="B3">
        <v>0.3</v>
      </c>
    </row>
    <row r="4" spans="1:2" x14ac:dyDescent="0.25">
      <c r="A4" t="s">
        <v>12</v>
      </c>
      <c r="B4">
        <v>150</v>
      </c>
    </row>
    <row r="5" spans="1:2" x14ac:dyDescent="0.25">
      <c r="A5" t="s">
        <v>5</v>
      </c>
      <c r="B5">
        <v>1.8</v>
      </c>
    </row>
    <row r="6" spans="1:2" x14ac:dyDescent="0.25">
      <c r="A6" t="s">
        <v>1</v>
      </c>
      <c r="B6">
        <f>1/16</f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</vt:lpstr>
      <vt:lpstr>Cycloidal GearBox</vt:lpstr>
      <vt:lpstr>Arm Dimensions</vt:lpstr>
      <vt:lpstr>Motor Specs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Hott</dc:creator>
  <cp:lastModifiedBy>Oisin Hott</cp:lastModifiedBy>
  <dcterms:created xsi:type="dcterms:W3CDTF">2015-06-05T18:17:20Z</dcterms:created>
  <dcterms:modified xsi:type="dcterms:W3CDTF">2025-07-12T23:22:29Z</dcterms:modified>
</cp:coreProperties>
</file>